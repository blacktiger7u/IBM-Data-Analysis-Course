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\Downloads\"/>
    </mc:Choice>
  </mc:AlternateContent>
  <xr:revisionPtr revIDLastSave="0" documentId="8_{9BCF7216-B551-4AD3-87DE-6D5AEAE10A53}" xr6:coauthVersionLast="47" xr6:coauthVersionMax="47" xr10:uidLastSave="{00000000-0000-0000-0000-000000000000}"/>
  <bookViews>
    <workbookView xWindow="-28920" yWindow="13620" windowWidth="29040" windowHeight="15720" activeTab="2" xr2:uid="{00000000-000D-0000-FFFF-FFFF00000000}"/>
  </bookViews>
  <sheets>
    <sheet name="montgomery_Fleet_Equipment_Inve" sheetId="1" r:id="rId1"/>
    <sheet name="Tabela przestawna 1" sheetId="2" r:id="rId2"/>
    <sheet name="Tabela przestawna 2" sheetId="3" r:id="rId3"/>
    <sheet name="Tabela przestawna 3" sheetId="4" r:id="rId4"/>
  </sheets>
  <definedNames>
    <definedName name="_xlnm._FilterDatabase" localSheetId="0" hidden="1">montgomery_Fleet_Equipment_Inve!$A$1:$C$50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4" i="1"/>
  <c r="G6" i="1"/>
  <c r="G3" i="1"/>
  <c r="G2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<sst xmlns="http://schemas.openxmlformats.org/spreadsheetml/2006/main" count="165" uniqueCount="37">
  <si>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</si>
  <si>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</si>
  <si>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</si>
  <si>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</si>
  <si>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</si>
  <si>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</si>
  <si>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</si>
  <si>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</si>
  <si>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</si>
  <si>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</si>
  <si>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</si>
  <si>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</si>
  <si>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</si>
  <si>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</si>
  <si>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</si>
  <si>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</si>
  <si>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</si>
  <si>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</si>
  <si>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</si>
  <si>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</si>
  <si>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</si>
  <si>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</si>
  <si>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</si>
  <si>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</si>
  <si>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</si>
  <si>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</si>
  <si>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</si>
  <si>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</si>
  <si>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</si>
  <si>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suma</t>
  </si>
  <si>
    <t>średnia</t>
  </si>
  <si>
    <t>MIN</t>
  </si>
  <si>
    <t>MAX</t>
  </si>
  <si>
    <t>liczba</t>
  </si>
  <si>
    <t>Etykiety wierszy</t>
  </si>
  <si>
    <t>Suma końcowa</t>
  </si>
  <si>
    <t>Suma z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</si>
</sst>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ek PL" refreshedDate="46192.526622800928" createdVersion="7" refreshedVersion="7" minRefreshableVersion="3" recordCount="49" xr:uid="{B2DA7605-4019-4541-8928-EA446EA5979D}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C4B9B-4D89-4448-878F-FC225B195DF2}" name="Tabela przestawna1" cacheId="3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B1866-4496-401F-A3F2-8E4942F1DF34}" name="Tabela przestawna2" cacheId="3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>
  <location ref="A1:B23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z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2D62C-289C-4463-9421-20C2591FCCDC}" name="Tabela przestawna3" cacheId="3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>
  <location ref="A1:B19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a z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C39" sqref="C39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6.54296875" bestFit="1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t="s">
        <v>5</v>
      </c>
      <c r="B2" t="s">
        <v>6</v>
      </c>
      <c r="C2">
        <v>21</v>
      </c>
      <c r="F2" t="s">
        <v>29</v>
      </c>
      <c r="G2">
        <f>SUM(C2:C50)</f>
        <v>1582</v>
      </c>
    </row>
    <row r="3" spans="1:7" x14ac:dyDescent="0.35">
      <c r="A3" t="s">
        <v>5</v>
      </c>
      <c r="B3" t="s">
        <v>7</v>
      </c>
      <c r="C3">
        <v>1</v>
      </c>
      <c r="F3" t="s">
        <v>30</v>
      </c>
      <c r="G3">
        <f>AVERAGE(C2:C50)</f>
        <v>32.285714285714285</v>
      </c>
    </row>
    <row r="4" spans="1:7" x14ac:dyDescent="0.35">
      <c r="A4" t="s">
        <v>5</v>
      </c>
      <c r="B4" t="s">
        <v>4</v>
      </c>
      <c r="C4">
        <v>23</v>
      </c>
      <c r="F4" t="s">
        <v>31</v>
      </c>
      <c r="G4">
        <f>MIN(C2:C50)</f>
        <v>1</v>
      </c>
    </row>
    <row r="5" spans="1:7" x14ac:dyDescent="0.35">
      <c r="A5" t="s">
        <v>8</v>
      </c>
      <c r="B5" t="s">
        <v>4</v>
      </c>
      <c r="C5">
        <v>2</v>
      </c>
      <c r="F5" t="s">
        <v>32</v>
      </c>
      <c r="G5">
        <f>MAX(C2:C50)</f>
        <v>379</v>
      </c>
    </row>
    <row r="6" spans="1:7" x14ac:dyDescent="0.35">
      <c r="A6" t="s">
        <v>9</v>
      </c>
      <c r="B6" t="s">
        <v>6</v>
      </c>
      <c r="C6">
        <v>3</v>
      </c>
      <c r="F6" t="s">
        <v>33</v>
      </c>
      <c r="G6">
        <f>COUNT(C2:C50)</f>
        <v>49</v>
      </c>
    </row>
    <row r="7" spans="1:7" x14ac:dyDescent="0.35">
      <c r="A7" t="s">
        <v>9</v>
      </c>
      <c r="B7" t="s">
        <v>10</v>
      </c>
      <c r="C7">
        <v>2</v>
      </c>
    </row>
    <row r="8" spans="1:7" x14ac:dyDescent="0.35">
      <c r="A8" t="s">
        <v>9</v>
      </c>
      <c r="B8" t="s">
        <v>11</v>
      </c>
      <c r="C8">
        <v>1</v>
      </c>
    </row>
    <row r="9" spans="1:7" x14ac:dyDescent="0.35">
      <c r="A9" t="s">
        <v>12</v>
      </c>
      <c r="B9" t="s">
        <v>10</v>
      </c>
      <c r="C9">
        <v>2</v>
      </c>
    </row>
    <row r="10" spans="1:7" x14ac:dyDescent="0.35">
      <c r="A10" t="s">
        <v>12</v>
      </c>
      <c r="B10" t="s">
        <v>13</v>
      </c>
      <c r="C10">
        <v>42</v>
      </c>
    </row>
    <row r="11" spans="1:7" x14ac:dyDescent="0.35">
      <c r="A11" t="s">
        <v>12</v>
      </c>
      <c r="B11" t="s">
        <v>7</v>
      </c>
      <c r="C11">
        <v>1</v>
      </c>
    </row>
    <row r="12" spans="1:7" x14ac:dyDescent="0.35">
      <c r="A12" t="s">
        <v>12</v>
      </c>
      <c r="B12" t="s">
        <v>4</v>
      </c>
      <c r="C12">
        <v>11</v>
      </c>
    </row>
    <row r="13" spans="1:7" x14ac:dyDescent="0.35">
      <c r="A13" t="s">
        <v>14</v>
      </c>
      <c r="B13" t="s">
        <v>7</v>
      </c>
      <c r="C13">
        <v>1</v>
      </c>
    </row>
    <row r="14" spans="1:7" x14ac:dyDescent="0.35">
      <c r="A14" t="s">
        <v>15</v>
      </c>
      <c r="B14" t="s">
        <v>16</v>
      </c>
      <c r="C14">
        <v>9</v>
      </c>
    </row>
    <row r="15" spans="1:7" x14ac:dyDescent="0.35">
      <c r="A15" t="s">
        <v>15</v>
      </c>
      <c r="B15" t="s">
        <v>7</v>
      </c>
      <c r="C15">
        <v>27</v>
      </c>
    </row>
    <row r="16" spans="1:7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CE73-B274-4F20-96BA-B858BE28FF2D}">
  <dimension ref="A3:B16"/>
  <sheetViews>
    <sheetView topLeftCell="A3" zoomScale="160" zoomScaleNormal="160" workbookViewId="0">
      <selection activeCell="A3" sqref="A3:B16"/>
    </sheetView>
  </sheetViews>
  <sheetFormatPr defaultRowHeight="14.5" x14ac:dyDescent="0.35"/>
  <cols>
    <col min="1" max="1" width="29.26953125" bestFit="1" customWidth="1"/>
    <col min="2" max="2" width="22.17968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5</v>
      </c>
      <c r="B4" s="4">
        <v>45</v>
      </c>
    </row>
    <row r="5" spans="1:2" x14ac:dyDescent="0.35">
      <c r="A5" s="2" t="s">
        <v>8</v>
      </c>
      <c r="B5" s="4">
        <v>2</v>
      </c>
    </row>
    <row r="6" spans="1:2" x14ac:dyDescent="0.35">
      <c r="A6" s="2" t="s">
        <v>9</v>
      </c>
      <c r="B6" s="4">
        <v>6</v>
      </c>
    </row>
    <row r="7" spans="1:2" x14ac:dyDescent="0.35">
      <c r="A7" s="2" t="s">
        <v>12</v>
      </c>
      <c r="B7" s="4">
        <v>56</v>
      </c>
    </row>
    <row r="8" spans="1:2" x14ac:dyDescent="0.35">
      <c r="A8" s="2" t="s">
        <v>14</v>
      </c>
      <c r="B8" s="4">
        <v>1</v>
      </c>
    </row>
    <row r="9" spans="1:2" x14ac:dyDescent="0.35">
      <c r="A9" s="2" t="s">
        <v>15</v>
      </c>
      <c r="B9" s="4">
        <v>109</v>
      </c>
    </row>
    <row r="10" spans="1:2" x14ac:dyDescent="0.35">
      <c r="A10" s="2" t="s">
        <v>17</v>
      </c>
      <c r="B10" s="4">
        <v>1</v>
      </c>
    </row>
    <row r="11" spans="1:2" x14ac:dyDescent="0.35">
      <c r="A11" s="2" t="s">
        <v>18</v>
      </c>
      <c r="B11" s="4">
        <v>35</v>
      </c>
    </row>
    <row r="12" spans="1:2" x14ac:dyDescent="0.35">
      <c r="A12" s="2" t="s">
        <v>19</v>
      </c>
      <c r="B12" s="4">
        <v>85</v>
      </c>
    </row>
    <row r="13" spans="1:2" x14ac:dyDescent="0.35">
      <c r="A13" s="2" t="s">
        <v>24</v>
      </c>
      <c r="B13" s="4">
        <v>5</v>
      </c>
    </row>
    <row r="14" spans="1:2" x14ac:dyDescent="0.35">
      <c r="A14" s="2" t="s">
        <v>25</v>
      </c>
      <c r="B14" s="4">
        <v>16</v>
      </c>
    </row>
    <row r="15" spans="1:2" x14ac:dyDescent="0.35">
      <c r="A15" s="2" t="s">
        <v>26</v>
      </c>
      <c r="B15" s="4">
        <v>1221</v>
      </c>
    </row>
    <row r="16" spans="1:2" x14ac:dyDescent="0.35">
      <c r="A16" s="2" t="s">
        <v>35</v>
      </c>
      <c r="B16" s="4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C0DD-C9DD-40DC-A2FD-A3B992E2EAB4}">
  <dimension ref="A1:B23"/>
  <sheetViews>
    <sheetView tabSelected="1" workbookViewId="0">
      <selection activeCell="A22" sqref="A22"/>
    </sheetView>
  </sheetViews>
  <sheetFormatPr defaultRowHeight="14.5" x14ac:dyDescent="0.35"/>
  <cols>
    <col min="1" max="1" width="29.7265625" bestFit="1" customWidth="1"/>
    <col min="2" max="2" width="22.36328125" bestFit="1" customWidth="1"/>
  </cols>
  <sheetData>
    <row r="1" spans="1:2" x14ac:dyDescent="0.35">
      <c r="A1" s="1" t="s">
        <v>34</v>
      </c>
      <c r="B1" t="s">
        <v>36</v>
      </c>
    </row>
    <row r="2" spans="1:2" x14ac:dyDescent="0.35">
      <c r="A2" s="2" t="s">
        <v>26</v>
      </c>
      <c r="B2" s="4">
        <v>1221</v>
      </c>
    </row>
    <row r="3" spans="1:2" x14ac:dyDescent="0.35">
      <c r="A3" s="3" t="s">
        <v>16</v>
      </c>
      <c r="B3" s="4">
        <v>5</v>
      </c>
    </row>
    <row r="4" spans="1:2" x14ac:dyDescent="0.35">
      <c r="A4" s="3" t="s">
        <v>13</v>
      </c>
      <c r="B4" s="4">
        <v>248</v>
      </c>
    </row>
    <row r="5" spans="1:2" x14ac:dyDescent="0.35">
      <c r="A5" s="3" t="s">
        <v>11</v>
      </c>
      <c r="B5" s="4">
        <v>98</v>
      </c>
    </row>
    <row r="6" spans="1:2" x14ac:dyDescent="0.35">
      <c r="A6" s="3" t="s">
        <v>28</v>
      </c>
      <c r="B6" s="4">
        <v>276</v>
      </c>
    </row>
    <row r="7" spans="1:2" x14ac:dyDescent="0.35">
      <c r="A7" s="3" t="s">
        <v>6</v>
      </c>
      <c r="B7" s="4">
        <v>93</v>
      </c>
    </row>
    <row r="8" spans="1:2" x14ac:dyDescent="0.35">
      <c r="A8" s="3" t="s">
        <v>4</v>
      </c>
      <c r="B8" s="4">
        <v>37</v>
      </c>
    </row>
    <row r="9" spans="1:2" x14ac:dyDescent="0.35">
      <c r="A9" s="3" t="s">
        <v>7</v>
      </c>
      <c r="B9" s="4">
        <v>53</v>
      </c>
    </row>
    <row r="10" spans="1:2" x14ac:dyDescent="0.35">
      <c r="A10" s="3" t="s">
        <v>27</v>
      </c>
      <c r="B10" s="4">
        <v>379</v>
      </c>
    </row>
    <row r="11" spans="1:2" x14ac:dyDescent="0.35">
      <c r="A11" s="3" t="s">
        <v>10</v>
      </c>
      <c r="B11" s="4">
        <v>32</v>
      </c>
    </row>
    <row r="12" spans="1:2" x14ac:dyDescent="0.35">
      <c r="A12" s="2" t="s">
        <v>25</v>
      </c>
      <c r="B12" s="4">
        <v>16</v>
      </c>
    </row>
    <row r="13" spans="1:2" x14ac:dyDescent="0.35">
      <c r="A13" s="2" t="s">
        <v>24</v>
      </c>
      <c r="B13" s="4">
        <v>5</v>
      </c>
    </row>
    <row r="14" spans="1:2" x14ac:dyDescent="0.35">
      <c r="A14" s="2" t="s">
        <v>19</v>
      </c>
      <c r="B14" s="4">
        <v>85</v>
      </c>
    </row>
    <row r="15" spans="1:2" x14ac:dyDescent="0.35">
      <c r="A15" s="2" t="s">
        <v>18</v>
      </c>
      <c r="B15" s="4">
        <v>35</v>
      </c>
    </row>
    <row r="16" spans="1:2" x14ac:dyDescent="0.35">
      <c r="A16" s="2" t="s">
        <v>17</v>
      </c>
      <c r="B16" s="4">
        <v>1</v>
      </c>
    </row>
    <row r="17" spans="1:2" x14ac:dyDescent="0.35">
      <c r="A17" s="2" t="s">
        <v>15</v>
      </c>
      <c r="B17" s="4">
        <v>109</v>
      </c>
    </row>
    <row r="18" spans="1:2" x14ac:dyDescent="0.35">
      <c r="A18" s="2" t="s">
        <v>14</v>
      </c>
      <c r="B18" s="4">
        <v>1</v>
      </c>
    </row>
    <row r="19" spans="1:2" x14ac:dyDescent="0.35">
      <c r="A19" s="2" t="s">
        <v>12</v>
      </c>
      <c r="B19" s="4">
        <v>56</v>
      </c>
    </row>
    <row r="20" spans="1:2" x14ac:dyDescent="0.35">
      <c r="A20" s="2" t="s">
        <v>9</v>
      </c>
      <c r="B20" s="4">
        <v>6</v>
      </c>
    </row>
    <row r="21" spans="1:2" x14ac:dyDescent="0.35">
      <c r="A21" s="2" t="s">
        <v>8</v>
      </c>
      <c r="B21" s="4">
        <v>2</v>
      </c>
    </row>
    <row r="22" spans="1:2" x14ac:dyDescent="0.35">
      <c r="A22" s="2" t="s">
        <v>5</v>
      </c>
      <c r="B22" s="4">
        <v>45</v>
      </c>
    </row>
    <row r="23" spans="1:2" x14ac:dyDescent="0.35">
      <c r="A23" s="2" t="s">
        <v>35</v>
      </c>
      <c r="B23" s="4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A7DB-2FDA-4A27-A1B3-F6F41DFF039E}">
  <dimension ref="A1:B19"/>
  <sheetViews>
    <sheetView workbookViewId="0">
      <selection activeCell="A18" sqref="A18"/>
    </sheetView>
  </sheetViews>
  <sheetFormatPr defaultRowHeight="14.5" x14ac:dyDescent="0.35"/>
  <cols>
    <col min="1" max="1" width="27" bestFit="1" customWidth="1"/>
    <col min="2" max="2" width="22.36328125" bestFit="1" customWidth="1"/>
  </cols>
  <sheetData>
    <row r="1" spans="1:2" x14ac:dyDescent="0.35">
      <c r="A1" s="1" t="s">
        <v>34</v>
      </c>
      <c r="B1" t="s">
        <v>36</v>
      </c>
    </row>
    <row r="2" spans="1:2" x14ac:dyDescent="0.35">
      <c r="A2" s="2" t="s">
        <v>16</v>
      </c>
      <c r="B2" s="4">
        <v>15</v>
      </c>
    </row>
    <row r="3" spans="1:2" x14ac:dyDescent="0.35">
      <c r="A3" s="3" t="s">
        <v>15</v>
      </c>
      <c r="B3" s="4">
        <v>9</v>
      </c>
    </row>
    <row r="4" spans="1:2" x14ac:dyDescent="0.35">
      <c r="A4" s="3" t="s">
        <v>25</v>
      </c>
      <c r="B4" s="4">
        <v>1</v>
      </c>
    </row>
    <row r="5" spans="1:2" x14ac:dyDescent="0.35">
      <c r="A5" s="3" t="s">
        <v>26</v>
      </c>
      <c r="B5" s="4">
        <v>5</v>
      </c>
    </row>
    <row r="6" spans="1:2" x14ac:dyDescent="0.35">
      <c r="A6" s="2" t="s">
        <v>13</v>
      </c>
      <c r="B6" s="4">
        <v>290</v>
      </c>
    </row>
    <row r="7" spans="1:2" x14ac:dyDescent="0.35">
      <c r="A7" s="2" t="s">
        <v>11</v>
      </c>
      <c r="B7" s="4">
        <v>100</v>
      </c>
    </row>
    <row r="8" spans="1:2" x14ac:dyDescent="0.35">
      <c r="A8" s="2" t="s">
        <v>28</v>
      </c>
      <c r="B8" s="4">
        <v>283</v>
      </c>
    </row>
    <row r="9" spans="1:2" x14ac:dyDescent="0.35">
      <c r="A9" s="2" t="s">
        <v>6</v>
      </c>
      <c r="B9" s="4">
        <v>150</v>
      </c>
    </row>
    <row r="10" spans="1:2" x14ac:dyDescent="0.35">
      <c r="A10" s="2" t="s">
        <v>21</v>
      </c>
      <c r="B10" s="4">
        <v>4</v>
      </c>
    </row>
    <row r="11" spans="1:2" x14ac:dyDescent="0.35">
      <c r="A11" s="2" t="s">
        <v>23</v>
      </c>
      <c r="B11" s="4">
        <v>1</v>
      </c>
    </row>
    <row r="12" spans="1:2" x14ac:dyDescent="0.35">
      <c r="A12" s="2" t="s">
        <v>22</v>
      </c>
      <c r="B12" s="4">
        <v>47</v>
      </c>
    </row>
    <row r="13" spans="1:2" x14ac:dyDescent="0.35">
      <c r="A13" s="2" t="s">
        <v>3</v>
      </c>
      <c r="B13" s="4">
        <v>20</v>
      </c>
    </row>
    <row r="14" spans="1:2" x14ac:dyDescent="0.35">
      <c r="A14" s="2" t="s">
        <v>20</v>
      </c>
      <c r="B14" s="4">
        <v>8</v>
      </c>
    </row>
    <row r="15" spans="1:2" x14ac:dyDescent="0.35">
      <c r="A15" s="2" t="s">
        <v>4</v>
      </c>
      <c r="B15" s="4">
        <v>130</v>
      </c>
    </row>
    <row r="16" spans="1:2" x14ac:dyDescent="0.35">
      <c r="A16" s="2" t="s">
        <v>7</v>
      </c>
      <c r="B16" s="4">
        <v>90</v>
      </c>
    </row>
    <row r="17" spans="1:2" x14ac:dyDescent="0.35">
      <c r="A17" s="2" t="s">
        <v>27</v>
      </c>
      <c r="B17" s="4">
        <v>379</v>
      </c>
    </row>
    <row r="18" spans="1:2" x14ac:dyDescent="0.35">
      <c r="A18" s="2" t="s">
        <v>10</v>
      </c>
      <c r="B18" s="4">
        <v>65</v>
      </c>
    </row>
    <row r="19" spans="1:2" x14ac:dyDescent="0.35">
      <c r="A19" s="2" t="s">
        <v>35</v>
      </c>
      <c r="B19" s="4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montgomery_Fleet_Equipment_Inve</vt:lpstr>
      <vt:lpstr>Tabela przestawna 1</vt:lpstr>
      <vt:lpstr>Tabela przestawna 2</vt:lpstr>
      <vt:lpstr>Tabela przestawna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PL</dc:creator>
  <cp:lastModifiedBy>jan kolobko</cp:lastModifiedBy>
  <dcterms:created xsi:type="dcterms:W3CDTF">2020-09-01T17:18:12Z</dcterms:created>
  <dcterms:modified xsi:type="dcterms:W3CDTF">2026-06-19T10:44:55Z</dcterms:modified>
</cp:coreProperties>
</file>